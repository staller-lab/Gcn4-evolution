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ireleblanc/Documents/grad_school/staller_lab/Evolution_stuff/gcn4_paper_stuff/dn_ds/"/>
    </mc:Choice>
  </mc:AlternateContent>
  <xr:revisionPtr revIDLastSave="0" documentId="13_ncr:1_{CB5CEC59-862F-214C-B15C-E22FCF930968}" xr6:coauthVersionLast="47" xr6:coauthVersionMax="47" xr10:uidLastSave="{00000000-0000-0000-0000-000000000000}"/>
  <bookViews>
    <workbookView xWindow="10500" yWindow="760" windowWidth="15520" windowHeight="17180" xr2:uid="{A6A9B365-15A9-5F46-BE02-13668D187AAE}"/>
  </bookViews>
  <sheets>
    <sheet name="Sheet1" sheetId="1" r:id="rId1"/>
  </sheets>
  <definedNames>
    <definedName name="_xlnm._FilterDatabase" localSheetId="0" hidden="1">Sheet1!$A$1:$G$38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F38" i="1"/>
  <c r="G38" i="1" s="1"/>
  <c r="F34" i="1"/>
  <c r="G34" i="1" s="1"/>
  <c r="F35" i="1"/>
  <c r="F3" i="1"/>
  <c r="G3" i="1" s="1"/>
  <c r="F36" i="1"/>
  <c r="G36" i="1" s="1"/>
  <c r="F14" i="1"/>
  <c r="G14" i="1" s="1"/>
  <c r="F37" i="1"/>
  <c r="G37" i="1" s="1"/>
  <c r="F8" i="1"/>
  <c r="G8" i="1" s="1"/>
  <c r="F5" i="1"/>
  <c r="G5" i="1" s="1"/>
  <c r="F33" i="1"/>
  <c r="G33" i="1" s="1"/>
  <c r="F32" i="1"/>
  <c r="G32" i="1" s="1"/>
  <c r="F16" i="1"/>
  <c r="G16" i="1" s="1"/>
  <c r="F17" i="1"/>
  <c r="G17" i="1" s="1"/>
  <c r="F18" i="1"/>
  <c r="G18" i="1" s="1"/>
  <c r="F19" i="1"/>
  <c r="G19" i="1" s="1"/>
  <c r="F4" i="1"/>
  <c r="G4" i="1" s="1"/>
  <c r="F13" i="1"/>
  <c r="G13" i="1" s="1"/>
  <c r="F10" i="1"/>
  <c r="G10" i="1" s="1"/>
  <c r="F20" i="1"/>
  <c r="F6" i="1"/>
  <c r="G6" i="1" s="1"/>
  <c r="F11" i="1"/>
  <c r="G11" i="1" s="1"/>
  <c r="F9" i="1"/>
  <c r="G9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12" i="1"/>
  <c r="G12" i="1" s="1"/>
  <c r="F15" i="1"/>
  <c r="G15" i="1" s="1"/>
  <c r="F28" i="1"/>
  <c r="F29" i="1"/>
  <c r="F30" i="1"/>
  <c r="G30" i="1" s="1"/>
  <c r="F31" i="1"/>
  <c r="G31" i="1" s="1"/>
  <c r="F7" i="1"/>
  <c r="G7" i="1" s="1"/>
  <c r="F2" i="1"/>
  <c r="G2" i="1" s="1"/>
</calcChain>
</file>

<file path=xl/sharedStrings.xml><?xml version="1.0" encoding="utf-8"?>
<sst xmlns="http://schemas.openxmlformats.org/spreadsheetml/2006/main" count="9" uniqueCount="9">
  <si>
    <t xml:space="preserve">Branch </t>
  </si>
  <si>
    <t xml:space="preserve">Likelihood </t>
  </si>
  <si>
    <t>control likelihood</t>
  </si>
  <si>
    <t>FP</t>
  </si>
  <si>
    <t>control FP</t>
  </si>
  <si>
    <t>critical value</t>
  </si>
  <si>
    <t>pvalue</t>
  </si>
  <si>
    <t>Rank</t>
  </si>
  <si>
    <t>adjusted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</si>
</sst>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EE77B-F4FB-0C4D-A5E9-9C704B4C96B4}">
  <dimension ref="A1:I38"/>
  <sheetViews>
    <sheetView tabSelected="1" workbookViewId="0">
      <selection activeCell="B19" sqref="B19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>
        <v>-7419.6394399999999</v>
      </c>
      <c r="C2">
        <v>-7422.4233990000002</v>
      </c>
      <c r="D2">
        <v>42</v>
      </c>
      <c r="E2">
        <v>41</v>
      </c>
      <c r="F2">
        <f t="shared" ref="F2:F38" si="0">2*(B2-C2)</f>
        <v>5.5679180000006454</v>
      </c>
      <c r="G2">
        <f t="shared" ref="G2:G19" si="1">_xlfn.CHISQ.DIST.RT(F2,1)</f>
        <v>1.8292498769285934E-2</v>
      </c>
      <c r="H2">
        <v>1</v>
      </c>
      <c r="I2">
        <f>H2/38*0.05</f>
        <v>1.3157894736842105E-3</v>
      </c>
    </row>
    <row r="3" spans="1:9" x14ac:dyDescent="0.2">
      <c r="A3">
        <v>13</v>
      </c>
      <c r="B3">
        <v>-7433.1263989999998</v>
      </c>
      <c r="C3" s="1">
        <v>-7435.7542789999998</v>
      </c>
      <c r="D3">
        <v>42</v>
      </c>
      <c r="E3">
        <v>41</v>
      </c>
      <c r="F3">
        <f t="shared" si="0"/>
        <v>5.2557600000000093</v>
      </c>
      <c r="G3">
        <f t="shared" si="1"/>
        <v>2.187424635452603E-2</v>
      </c>
      <c r="H3">
        <v>2</v>
      </c>
      <c r="I3">
        <f t="shared" ref="I3:I38" si="2">H3/38*0.05</f>
        <v>2.631578947368421E-3</v>
      </c>
    </row>
    <row r="4" spans="1:9" x14ac:dyDescent="0.2">
      <c r="A4">
        <v>37</v>
      </c>
      <c r="B4">
        <v>-7434.3608009999998</v>
      </c>
      <c r="C4">
        <v>-7436.2281290000001</v>
      </c>
      <c r="D4">
        <v>42</v>
      </c>
      <c r="E4">
        <v>41</v>
      </c>
      <c r="F4">
        <f t="shared" si="0"/>
        <v>3.7346560000005411</v>
      </c>
      <c r="G4">
        <f t="shared" si="1"/>
        <v>5.3294639752876176E-2</v>
      </c>
      <c r="H4">
        <v>3</v>
      </c>
      <c r="I4">
        <f t="shared" si="2"/>
        <v>3.9473684210526317E-3</v>
      </c>
    </row>
    <row r="5" spans="1:9" x14ac:dyDescent="0.2">
      <c r="A5">
        <v>8</v>
      </c>
      <c r="B5">
        <v>-7437.8120870000002</v>
      </c>
      <c r="C5" s="1">
        <v>-7439.4800740000001</v>
      </c>
      <c r="D5">
        <v>42</v>
      </c>
      <c r="E5">
        <v>41</v>
      </c>
      <c r="F5">
        <f t="shared" si="0"/>
        <v>3.3359739999996236</v>
      </c>
      <c r="G5">
        <f t="shared" si="1"/>
        <v>6.7780264987343894E-2</v>
      </c>
      <c r="H5">
        <v>4</v>
      </c>
      <c r="I5">
        <f t="shared" si="2"/>
        <v>5.263157894736842E-3</v>
      </c>
    </row>
    <row r="6" spans="1:9" x14ac:dyDescent="0.2">
      <c r="A6">
        <v>33</v>
      </c>
      <c r="B6">
        <v>-7437.0173000000004</v>
      </c>
      <c r="C6">
        <v>-7438.1675059999998</v>
      </c>
      <c r="D6">
        <v>42</v>
      </c>
      <c r="E6">
        <v>41</v>
      </c>
      <c r="F6">
        <f t="shared" si="0"/>
        <v>2.300411999998687</v>
      </c>
      <c r="G6">
        <f t="shared" si="1"/>
        <v>0.12933968727109779</v>
      </c>
      <c r="H6">
        <v>5</v>
      </c>
      <c r="I6">
        <f t="shared" si="2"/>
        <v>6.5789473684210523E-3</v>
      </c>
    </row>
    <row r="7" spans="1:9" x14ac:dyDescent="0.2">
      <c r="A7">
        <v>2</v>
      </c>
      <c r="B7">
        <v>-7436.0755760000002</v>
      </c>
      <c r="C7">
        <v>-7436.7944509999998</v>
      </c>
      <c r="D7">
        <v>42</v>
      </c>
      <c r="E7">
        <v>41</v>
      </c>
      <c r="F7">
        <f t="shared" si="0"/>
        <v>1.4377499999991414</v>
      </c>
      <c r="G7">
        <f t="shared" si="1"/>
        <v>0.23050378662322354</v>
      </c>
      <c r="H7">
        <v>6</v>
      </c>
      <c r="I7">
        <f t="shared" si="2"/>
        <v>7.8947368421052634E-3</v>
      </c>
    </row>
    <row r="8" spans="1:9" x14ac:dyDescent="0.2">
      <c r="A8">
        <v>9</v>
      </c>
      <c r="B8">
        <v>-7438.410288</v>
      </c>
      <c r="C8" s="1">
        <v>-7439.076849</v>
      </c>
      <c r="D8">
        <v>42</v>
      </c>
      <c r="E8">
        <v>41</v>
      </c>
      <c r="F8">
        <f t="shared" si="0"/>
        <v>1.333122000000003</v>
      </c>
      <c r="G8">
        <f t="shared" si="1"/>
        <v>0.24825056931461689</v>
      </c>
      <c r="H8">
        <v>7</v>
      </c>
      <c r="I8">
        <f t="shared" si="2"/>
        <v>9.2105263157894728E-3</v>
      </c>
    </row>
    <row r="9" spans="1:9" x14ac:dyDescent="0.2">
      <c r="A9">
        <v>31</v>
      </c>
      <c r="B9">
        <v>-7437.3679359999996</v>
      </c>
      <c r="C9">
        <v>-7437.8375420000002</v>
      </c>
      <c r="D9">
        <v>42</v>
      </c>
      <c r="E9">
        <v>41</v>
      </c>
      <c r="F9">
        <f t="shared" si="0"/>
        <v>0.93921200000113458</v>
      </c>
      <c r="G9">
        <f t="shared" si="1"/>
        <v>0.33248057751032156</v>
      </c>
      <c r="H9">
        <v>8</v>
      </c>
      <c r="I9">
        <f t="shared" si="2"/>
        <v>1.0526315789473684E-2</v>
      </c>
    </row>
    <row r="10" spans="1:9" x14ac:dyDescent="0.2">
      <c r="A10">
        <v>35</v>
      </c>
      <c r="B10" s="1">
        <v>-7436.1413419999999</v>
      </c>
      <c r="C10">
        <v>-7436.4876240000003</v>
      </c>
      <c r="D10">
        <v>42</v>
      </c>
      <c r="E10">
        <v>41</v>
      </c>
      <c r="F10">
        <f t="shared" si="0"/>
        <v>0.69256400000085705</v>
      </c>
      <c r="G10">
        <f t="shared" si="1"/>
        <v>0.40529363612103902</v>
      </c>
      <c r="H10">
        <v>9</v>
      </c>
      <c r="I10">
        <f t="shared" si="2"/>
        <v>1.1842105263157895E-2</v>
      </c>
    </row>
    <row r="11" spans="1:9" x14ac:dyDescent="0.2">
      <c r="A11">
        <v>32</v>
      </c>
      <c r="B11">
        <v>-7436.98297</v>
      </c>
      <c r="C11">
        <v>-7437.3035810000001</v>
      </c>
      <c r="D11">
        <v>42</v>
      </c>
      <c r="E11">
        <v>41</v>
      </c>
      <c r="F11">
        <f t="shared" si="0"/>
        <v>0.64122200000019802</v>
      </c>
      <c r="G11">
        <f t="shared" si="1"/>
        <v>0.42326863941637849</v>
      </c>
      <c r="H11">
        <v>10</v>
      </c>
      <c r="I11">
        <f t="shared" si="2"/>
        <v>1.3157894736842105E-2</v>
      </c>
    </row>
    <row r="12" spans="1:9" x14ac:dyDescent="0.2">
      <c r="A12">
        <v>23</v>
      </c>
      <c r="B12">
        <v>-7438.3335699999998</v>
      </c>
      <c r="C12">
        <v>-7438.6381940000001</v>
      </c>
      <c r="D12">
        <v>42</v>
      </c>
      <c r="E12">
        <v>41</v>
      </c>
      <c r="F12">
        <f t="shared" si="0"/>
        <v>0.6092480000006617</v>
      </c>
      <c r="G12">
        <f t="shared" si="1"/>
        <v>0.43507109198566368</v>
      </c>
      <c r="H12">
        <v>11</v>
      </c>
      <c r="I12">
        <f t="shared" si="2"/>
        <v>1.4473684210526317E-2</v>
      </c>
    </row>
    <row r="13" spans="1:9" x14ac:dyDescent="0.2">
      <c r="A13">
        <v>36</v>
      </c>
      <c r="B13">
        <v>-7435.7902979999999</v>
      </c>
      <c r="C13">
        <v>-7435.989047</v>
      </c>
      <c r="D13">
        <v>42</v>
      </c>
      <c r="E13">
        <v>41</v>
      </c>
      <c r="F13">
        <f t="shared" si="0"/>
        <v>0.3974980000002688</v>
      </c>
      <c r="G13">
        <f t="shared" si="1"/>
        <v>0.5283842308007678</v>
      </c>
      <c r="H13">
        <v>12</v>
      </c>
      <c r="I13">
        <f t="shared" si="2"/>
        <v>1.5789473684210527E-2</v>
      </c>
    </row>
    <row r="14" spans="1:9" x14ac:dyDescent="0.2">
      <c r="A14">
        <v>11</v>
      </c>
      <c r="B14" s="1">
        <v>-7438.5059000000001</v>
      </c>
      <c r="C14" s="1">
        <v>-7438.5882680000004</v>
      </c>
      <c r="D14">
        <v>42</v>
      </c>
      <c r="E14">
        <v>41</v>
      </c>
      <c r="F14">
        <f t="shared" si="0"/>
        <v>0.16473600000063016</v>
      </c>
      <c r="G14">
        <f t="shared" si="1"/>
        <v>0.68483310427034461</v>
      </c>
      <c r="H14">
        <v>13</v>
      </c>
      <c r="I14">
        <f t="shared" si="2"/>
        <v>1.7105263157894738E-2</v>
      </c>
    </row>
    <row r="15" spans="1:9" x14ac:dyDescent="0.2">
      <c r="A15">
        <v>22</v>
      </c>
      <c r="B15">
        <v>-7438.0913300000002</v>
      </c>
      <c r="C15">
        <v>-7438.1318119999996</v>
      </c>
      <c r="D15">
        <v>42</v>
      </c>
      <c r="E15">
        <v>41</v>
      </c>
      <c r="F15">
        <f t="shared" si="0"/>
        <v>8.0963999998857616E-2</v>
      </c>
      <c r="G15">
        <f t="shared" si="1"/>
        <v>0.7759952538471826</v>
      </c>
      <c r="H15">
        <v>14</v>
      </c>
      <c r="I15">
        <f t="shared" si="2"/>
        <v>1.8421052631578946E-2</v>
      </c>
    </row>
    <row r="16" spans="1:9" x14ac:dyDescent="0.2">
      <c r="A16">
        <v>3</v>
      </c>
      <c r="B16">
        <v>-7439.4800740000001</v>
      </c>
      <c r="C16">
        <v>-7439.4800740000001</v>
      </c>
      <c r="D16">
        <v>42</v>
      </c>
      <c r="E16">
        <v>41</v>
      </c>
      <c r="F16">
        <f t="shared" si="0"/>
        <v>0</v>
      </c>
      <c r="G16">
        <f t="shared" si="1"/>
        <v>1</v>
      </c>
      <c r="H16">
        <v>15</v>
      </c>
      <c r="I16">
        <f t="shared" si="2"/>
        <v>1.973684210526316E-2</v>
      </c>
    </row>
    <row r="17" spans="1:9" x14ac:dyDescent="0.2">
      <c r="A17">
        <v>4</v>
      </c>
      <c r="B17">
        <v>-7439.4800740000001</v>
      </c>
      <c r="C17" s="1">
        <v>-7439.4800740000001</v>
      </c>
      <c r="D17">
        <v>42</v>
      </c>
      <c r="E17">
        <v>41</v>
      </c>
      <c r="F17">
        <f t="shared" si="0"/>
        <v>0</v>
      </c>
      <c r="G17">
        <f t="shared" si="1"/>
        <v>1</v>
      </c>
      <c r="H17">
        <v>16</v>
      </c>
      <c r="I17">
        <f t="shared" si="2"/>
        <v>2.1052631578947368E-2</v>
      </c>
    </row>
    <row r="18" spans="1:9" x14ac:dyDescent="0.2">
      <c r="A18">
        <v>5</v>
      </c>
      <c r="B18">
        <v>-7439.4800740000001</v>
      </c>
      <c r="C18">
        <v>-7439.4800740000001</v>
      </c>
      <c r="D18">
        <v>42</v>
      </c>
      <c r="E18">
        <v>41</v>
      </c>
      <c r="F18">
        <f t="shared" si="0"/>
        <v>0</v>
      </c>
      <c r="G18">
        <f t="shared" si="1"/>
        <v>1</v>
      </c>
      <c r="H18">
        <v>17</v>
      </c>
      <c r="I18">
        <f t="shared" si="2"/>
        <v>2.2368421052631579E-2</v>
      </c>
    </row>
    <row r="19" spans="1:9" x14ac:dyDescent="0.2">
      <c r="A19">
        <v>6</v>
      </c>
      <c r="B19">
        <v>-7439.4800740000001</v>
      </c>
      <c r="C19">
        <v>-7439.4800740000001</v>
      </c>
      <c r="D19">
        <v>42</v>
      </c>
      <c r="E19">
        <v>41</v>
      </c>
      <c r="F19">
        <f t="shared" si="0"/>
        <v>0</v>
      </c>
      <c r="G19">
        <f t="shared" si="1"/>
        <v>1</v>
      </c>
      <c r="H19">
        <v>18</v>
      </c>
      <c r="I19">
        <f t="shared" si="2"/>
        <v>2.368421052631579E-2</v>
      </c>
    </row>
    <row r="20" spans="1:9" x14ac:dyDescent="0.2">
      <c r="A20">
        <v>34</v>
      </c>
      <c r="B20">
        <v>-7439.4800740000001</v>
      </c>
      <c r="C20">
        <v>-7439.4796809999998</v>
      </c>
      <c r="D20">
        <v>42</v>
      </c>
      <c r="E20">
        <v>41</v>
      </c>
      <c r="F20">
        <f t="shared" si="0"/>
        <v>-7.860000005166512E-4</v>
      </c>
      <c r="G20">
        <v>1</v>
      </c>
      <c r="H20">
        <v>19</v>
      </c>
      <c r="I20">
        <f t="shared" si="2"/>
        <v>2.5000000000000001E-2</v>
      </c>
    </row>
    <row r="21" spans="1:9" x14ac:dyDescent="0.2">
      <c r="A21">
        <v>30</v>
      </c>
      <c r="B21">
        <v>-7436.4736309999998</v>
      </c>
      <c r="C21">
        <v>-7436.4736309999998</v>
      </c>
      <c r="D21">
        <v>42</v>
      </c>
      <c r="E21">
        <v>41</v>
      </c>
      <c r="F21">
        <f t="shared" si="0"/>
        <v>0</v>
      </c>
      <c r="G21">
        <f t="shared" ref="G21:G27" si="3">_xlfn.CHISQ.DIST.RT(F21,1)</f>
        <v>1</v>
      </c>
      <c r="H21">
        <v>20</v>
      </c>
      <c r="I21">
        <f>H21/38*0.05</f>
        <v>2.6315789473684209E-2</v>
      </c>
    </row>
    <row r="22" spans="1:9" x14ac:dyDescent="0.2">
      <c r="A22">
        <v>29</v>
      </c>
      <c r="B22">
        <v>-7439.2441390000004</v>
      </c>
      <c r="C22" s="1">
        <v>-7439.2441390000004</v>
      </c>
      <c r="D22">
        <v>42</v>
      </c>
      <c r="E22">
        <v>41</v>
      </c>
      <c r="F22">
        <f t="shared" si="0"/>
        <v>0</v>
      </c>
      <c r="G22">
        <f t="shared" si="3"/>
        <v>1</v>
      </c>
      <c r="H22">
        <v>21</v>
      </c>
      <c r="I22">
        <f t="shared" si="2"/>
        <v>2.7631578947368424E-2</v>
      </c>
    </row>
    <row r="23" spans="1:9" x14ac:dyDescent="0.2">
      <c r="A23">
        <v>28</v>
      </c>
      <c r="B23">
        <v>-7439.4800740000001</v>
      </c>
      <c r="C23">
        <v>-7439.4800740000001</v>
      </c>
      <c r="D23">
        <v>42</v>
      </c>
      <c r="E23">
        <v>41</v>
      </c>
      <c r="F23">
        <f t="shared" si="0"/>
        <v>0</v>
      </c>
      <c r="G23">
        <f t="shared" si="3"/>
        <v>1</v>
      </c>
      <c r="H23">
        <v>22</v>
      </c>
      <c r="I23">
        <f t="shared" si="2"/>
        <v>2.8947368421052635E-2</v>
      </c>
    </row>
    <row r="24" spans="1:9" x14ac:dyDescent="0.2">
      <c r="A24">
        <v>27</v>
      </c>
      <c r="B24">
        <v>-7439.4800740000001</v>
      </c>
      <c r="C24">
        <v>-7439.4800740000001</v>
      </c>
      <c r="D24">
        <v>42</v>
      </c>
      <c r="E24">
        <v>41</v>
      </c>
      <c r="F24">
        <f t="shared" si="0"/>
        <v>0</v>
      </c>
      <c r="G24">
        <f t="shared" si="3"/>
        <v>1</v>
      </c>
      <c r="H24">
        <v>23</v>
      </c>
      <c r="I24">
        <f t="shared" si="2"/>
        <v>3.0263157894736843E-2</v>
      </c>
    </row>
    <row r="25" spans="1:9" x14ac:dyDescent="0.2">
      <c r="A25">
        <v>26</v>
      </c>
      <c r="B25">
        <v>-7439.4800740000001</v>
      </c>
      <c r="C25">
        <v>-7439.4800740000001</v>
      </c>
      <c r="D25">
        <v>42</v>
      </c>
      <c r="E25">
        <v>41</v>
      </c>
      <c r="F25">
        <f t="shared" si="0"/>
        <v>0</v>
      </c>
      <c r="G25">
        <f t="shared" si="3"/>
        <v>1</v>
      </c>
      <c r="H25">
        <v>24</v>
      </c>
      <c r="I25">
        <f t="shared" si="2"/>
        <v>3.1578947368421054E-2</v>
      </c>
    </row>
    <row r="26" spans="1:9" x14ac:dyDescent="0.2">
      <c r="A26">
        <v>25</v>
      </c>
      <c r="B26">
        <v>-7439.4800740000001</v>
      </c>
      <c r="C26">
        <v>-7439.4800740000001</v>
      </c>
      <c r="D26">
        <v>42</v>
      </c>
      <c r="E26">
        <v>41</v>
      </c>
      <c r="F26">
        <f t="shared" si="0"/>
        <v>0</v>
      </c>
      <c r="G26">
        <f t="shared" si="3"/>
        <v>1</v>
      </c>
      <c r="H26">
        <v>25</v>
      </c>
      <c r="I26">
        <f t="shared" si="2"/>
        <v>3.2894736842105268E-2</v>
      </c>
    </row>
    <row r="27" spans="1:9" x14ac:dyDescent="0.2">
      <c r="A27">
        <v>24</v>
      </c>
      <c r="B27">
        <v>-7439.4800740000001</v>
      </c>
      <c r="C27" s="1">
        <v>-7439.4800740000001</v>
      </c>
      <c r="D27">
        <v>42</v>
      </c>
      <c r="E27">
        <v>41</v>
      </c>
      <c r="F27">
        <f t="shared" si="0"/>
        <v>0</v>
      </c>
      <c r="G27">
        <f t="shared" si="3"/>
        <v>1</v>
      </c>
      <c r="H27">
        <v>26</v>
      </c>
      <c r="I27">
        <f t="shared" si="2"/>
        <v>3.4210526315789476E-2</v>
      </c>
    </row>
    <row r="28" spans="1:9" x14ac:dyDescent="0.2">
      <c r="A28">
        <v>21</v>
      </c>
      <c r="B28" s="1">
        <v>-7439.0561950000001</v>
      </c>
      <c r="C28" s="1">
        <v>-7439.0561850000004</v>
      </c>
      <c r="D28">
        <v>42</v>
      </c>
      <c r="E28">
        <v>41</v>
      </c>
      <c r="F28">
        <f t="shared" si="0"/>
        <v>-1.9999999494757503E-5</v>
      </c>
      <c r="G28">
        <v>1</v>
      </c>
      <c r="H28">
        <v>27</v>
      </c>
      <c r="I28">
        <f t="shared" si="2"/>
        <v>3.5526315789473684E-2</v>
      </c>
    </row>
    <row r="29" spans="1:9" x14ac:dyDescent="0.2">
      <c r="A29">
        <v>20</v>
      </c>
      <c r="B29">
        <v>-7439.4800759999998</v>
      </c>
      <c r="C29">
        <v>-7439.4800740000001</v>
      </c>
      <c r="D29">
        <v>42</v>
      </c>
      <c r="E29">
        <v>41</v>
      </c>
      <c r="F29">
        <f t="shared" si="0"/>
        <v>-3.9999995351536199E-6</v>
      </c>
      <c r="G29">
        <v>1</v>
      </c>
      <c r="H29">
        <v>28</v>
      </c>
      <c r="I29">
        <f t="shared" si="2"/>
        <v>3.6842105263157891E-2</v>
      </c>
    </row>
    <row r="30" spans="1:9" x14ac:dyDescent="0.2">
      <c r="A30">
        <v>19</v>
      </c>
      <c r="B30">
        <v>-7439.4800740000001</v>
      </c>
      <c r="C30" s="1">
        <v>-7439.4800740000001</v>
      </c>
      <c r="D30">
        <v>42</v>
      </c>
      <c r="E30">
        <v>41</v>
      </c>
      <c r="F30">
        <f t="shared" si="0"/>
        <v>0</v>
      </c>
      <c r="G30">
        <f>_xlfn.CHISQ.DIST.RT(F30,1)</f>
        <v>1</v>
      </c>
      <c r="H30">
        <v>29</v>
      </c>
      <c r="I30">
        <f t="shared" si="2"/>
        <v>3.8157894736842113E-2</v>
      </c>
    </row>
    <row r="31" spans="1:9" x14ac:dyDescent="0.2">
      <c r="A31">
        <v>18</v>
      </c>
      <c r="B31">
        <v>-7439.4800740000001</v>
      </c>
      <c r="C31" s="1">
        <v>-7439.4800740000001</v>
      </c>
      <c r="D31">
        <v>42</v>
      </c>
      <c r="E31">
        <v>41</v>
      </c>
      <c r="F31">
        <f t="shared" si="0"/>
        <v>0</v>
      </c>
      <c r="G31">
        <f>_xlfn.CHISQ.DIST.RT(F31,1)</f>
        <v>1</v>
      </c>
      <c r="H31">
        <v>30</v>
      </c>
      <c r="I31">
        <f t="shared" si="2"/>
        <v>3.9473684210526321E-2</v>
      </c>
    </row>
    <row r="32" spans="1:9" x14ac:dyDescent="0.2">
      <c r="A32">
        <v>17</v>
      </c>
      <c r="B32">
        <v>-7439.3530790000004</v>
      </c>
      <c r="C32" s="1">
        <v>-7439.3530790000004</v>
      </c>
      <c r="D32">
        <v>42</v>
      </c>
      <c r="E32">
        <v>41</v>
      </c>
      <c r="F32">
        <f t="shared" si="0"/>
        <v>0</v>
      </c>
      <c r="G32">
        <f>_xlfn.CHISQ.DIST.RT(F32,1)</f>
        <v>1</v>
      </c>
      <c r="H32">
        <v>31</v>
      </c>
      <c r="I32">
        <f t="shared" si="2"/>
        <v>4.0789473684210528E-2</v>
      </c>
    </row>
    <row r="33" spans="1:9" x14ac:dyDescent="0.2">
      <c r="A33">
        <v>16</v>
      </c>
      <c r="B33">
        <v>-7439.4800699999996</v>
      </c>
      <c r="C33" s="1">
        <v>-7439.4800699999996</v>
      </c>
      <c r="D33">
        <v>42</v>
      </c>
      <c r="E33">
        <v>41</v>
      </c>
      <c r="F33">
        <f t="shared" si="0"/>
        <v>0</v>
      </c>
      <c r="G33">
        <f>_xlfn.CHISQ.DIST.RT(F33,1)</f>
        <v>1</v>
      </c>
      <c r="H33">
        <v>32</v>
      </c>
      <c r="I33">
        <f t="shared" si="2"/>
        <v>4.2105263157894736E-2</v>
      </c>
    </row>
    <row r="34" spans="1:9" x14ac:dyDescent="0.2">
      <c r="A34">
        <v>15</v>
      </c>
      <c r="B34" s="1">
        <v>-7439.4800740000001</v>
      </c>
      <c r="C34" s="1">
        <v>-7439.4800740000001</v>
      </c>
      <c r="D34">
        <v>42</v>
      </c>
      <c r="E34">
        <v>41</v>
      </c>
      <c r="F34">
        <f t="shared" si="0"/>
        <v>0</v>
      </c>
      <c r="G34">
        <f>_xlfn.CHISQ.DIST.RT(F34,1)</f>
        <v>1</v>
      </c>
      <c r="H34">
        <v>33</v>
      </c>
      <c r="I34">
        <f t="shared" si="2"/>
        <v>4.3421052631578951E-2</v>
      </c>
    </row>
    <row r="35" spans="1:9" x14ac:dyDescent="0.2">
      <c r="A35">
        <v>14</v>
      </c>
      <c r="B35">
        <v>-7439.4800750000004</v>
      </c>
      <c r="C35" s="1">
        <v>-7439.4800740000001</v>
      </c>
      <c r="D35">
        <v>42</v>
      </c>
      <c r="E35">
        <v>41</v>
      </c>
      <c r="F35">
        <f t="shared" si="0"/>
        <v>-2.0000006770715117E-6</v>
      </c>
      <c r="G35">
        <v>1</v>
      </c>
      <c r="H35">
        <v>34</v>
      </c>
      <c r="I35">
        <f t="shared" si="2"/>
        <v>4.4736842105263158E-2</v>
      </c>
    </row>
    <row r="36" spans="1:9" x14ac:dyDescent="0.2">
      <c r="A36">
        <v>12</v>
      </c>
      <c r="B36">
        <v>-7439.4800740000001</v>
      </c>
      <c r="C36" s="1">
        <v>-7439.4800740000001</v>
      </c>
      <c r="D36">
        <v>42</v>
      </c>
      <c r="E36">
        <v>41</v>
      </c>
      <c r="F36">
        <f t="shared" si="0"/>
        <v>0</v>
      </c>
      <c r="G36">
        <f>_xlfn.CHISQ.DIST.RT(F36,1)</f>
        <v>1</v>
      </c>
      <c r="H36">
        <v>35</v>
      </c>
      <c r="I36">
        <f t="shared" si="2"/>
        <v>4.6052631578947373E-2</v>
      </c>
    </row>
    <row r="37" spans="1:9" x14ac:dyDescent="0.2">
      <c r="A37">
        <v>10</v>
      </c>
      <c r="B37">
        <v>-7439.4800740000001</v>
      </c>
      <c r="C37" s="1">
        <v>-7439.4800740000001</v>
      </c>
      <c r="D37">
        <v>42</v>
      </c>
      <c r="E37">
        <v>41</v>
      </c>
      <c r="F37">
        <f t="shared" si="0"/>
        <v>0</v>
      </c>
      <c r="G37">
        <f>_xlfn.CHISQ.DIST.RT(F37,1)</f>
        <v>1</v>
      </c>
      <c r="H37">
        <v>36</v>
      </c>
      <c r="I37">
        <f t="shared" si="2"/>
        <v>4.736842105263158E-2</v>
      </c>
    </row>
    <row r="38" spans="1:9" x14ac:dyDescent="0.2">
      <c r="A38">
        <v>7</v>
      </c>
      <c r="B38">
        <v>-7436.5112689999996</v>
      </c>
      <c r="C38" s="1">
        <v>-7436.5112689999996</v>
      </c>
      <c r="D38">
        <v>42</v>
      </c>
      <c r="E38">
        <v>41</v>
      </c>
      <c r="F38">
        <f t="shared" si="0"/>
        <v>0</v>
      </c>
      <c r="G38">
        <f>_xlfn.CHISQ.DIST.RT(F38,1)</f>
        <v>1</v>
      </c>
      <c r="H38">
        <v>37</v>
      </c>
      <c r="I38">
        <f t="shared" si="2"/>
        <v>4.8684210526315795E-2</v>
      </c>
    </row>
  </sheetData>
  <autoFilter ref="A1:G38" xr:uid="{25BEE77B-F4FB-0C4D-A5E9-9C704B4C96B4}">
    <sortState xmlns:xlrd2="http://schemas.microsoft.com/office/spreadsheetml/2017/richdata2" ref="A2:G38">
      <sortCondition ref="G1:G38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LeBlanc</dc:creator>
  <cp:lastModifiedBy>Claire LeBlanc</cp:lastModifiedBy>
  <dcterms:created xsi:type="dcterms:W3CDTF">2026-01-23T23:02:04Z</dcterms:created>
  <dcterms:modified xsi:type="dcterms:W3CDTF">2026-01-26T20:29:52Z</dcterms:modified>
</cp:coreProperties>
</file>